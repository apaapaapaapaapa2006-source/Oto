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作品一覧" sheetId="1" state="visible" r:id="rId1"/>
    <sheet name="サマリー" sheetId="2" state="visible" r:id="rId2"/>
  </sheets>
  <definedNames>
    <definedName name="_xlnm._FilterDatabase" localSheetId="0" hidden="1">'作品一覧'!$A$1:$Q$22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#,##0.0"/>
  </numFmts>
  <fonts count="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color rgb="001155CC"/>
      <sz val="10"/>
      <u val="single"/>
    </font>
    <font>
      <name val="Arial"/>
      <b val="1"/>
      <sz val="14"/>
    </font>
    <font>
      <name val="Arial"/>
      <b val="1"/>
      <sz val="10"/>
    </font>
    <font>
      <name val="Arial"/>
      <b val="1"/>
      <sz val="11"/>
    </font>
  </fonts>
  <fills count="6">
    <fill>
      <patternFill/>
    </fill>
    <fill>
      <patternFill patternType="gray125"/>
    </fill>
    <fill>
      <patternFill patternType="solid">
        <fgColor rgb="001F2A44"/>
      </patternFill>
    </fill>
    <fill>
      <patternFill patternType="solid">
        <fgColor rgb="00E4F3EE"/>
      </patternFill>
    </fill>
    <fill>
      <patternFill patternType="solid">
        <fgColor rgb="00F2F5FA"/>
      </patternFill>
    </fill>
    <fill>
      <patternFill patternType="solid">
        <fgColor rgb="00FFF3D6"/>
      </patternFill>
    </fill>
  </fills>
  <borders count="2">
    <border>
      <left/>
      <right/>
      <top/>
      <bottom/>
      <diagonal/>
    </border>
    <border>
      <left style="thin">
        <color rgb="00D0D4DC"/>
      </left>
      <right style="thin">
        <color rgb="00D0D4DC"/>
      </right>
      <top style="thin">
        <color rgb="00D0D4DC"/>
      </top>
      <bottom style="thin">
        <color rgb="00D0D4DC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top" wrapText="1"/>
    </xf>
    <xf numFmtId="3" fontId="2" fillId="0" borderId="1" applyAlignment="1" pivotButton="0" quotePrefix="0" xfId="0">
      <alignment horizontal="right" vertical="top"/>
    </xf>
    <xf numFmtId="165" fontId="2" fillId="0" borderId="1" applyAlignment="1" pivotButton="0" quotePrefix="0" xfId="0">
      <alignment horizontal="right" vertical="top"/>
    </xf>
    <xf numFmtId="164" fontId="2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right" vertical="top"/>
    </xf>
    <xf numFmtId="0" fontId="3" fillId="0" borderId="1" applyAlignment="1" pivotButton="0" quotePrefix="0" xfId="0">
      <alignment vertical="top"/>
    </xf>
    <xf numFmtId="0" fontId="2" fillId="4" borderId="1" applyAlignment="1" pivotButton="0" quotePrefix="0" xfId="0">
      <alignment vertical="top"/>
    </xf>
    <xf numFmtId="0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vertical="top" wrapText="1"/>
    </xf>
    <xf numFmtId="3" fontId="2" fillId="4" borderId="1" applyAlignment="1" pivotButton="0" quotePrefix="0" xfId="0">
      <alignment horizontal="right" vertical="top"/>
    </xf>
    <xf numFmtId="165" fontId="2" fillId="4" borderId="1" applyAlignment="1" pivotButton="0" quotePrefix="0" xfId="0">
      <alignment horizontal="right" vertical="top"/>
    </xf>
    <xf numFmtId="164" fontId="2" fillId="4" borderId="1" applyAlignment="1" pivotButton="0" quotePrefix="0" xfId="0">
      <alignment horizontal="center" vertical="top"/>
    </xf>
    <xf numFmtId="0" fontId="2" fillId="4" borderId="1" applyAlignment="1" pivotButton="0" quotePrefix="0" xfId="0">
      <alignment horizontal="right" vertical="top"/>
    </xf>
    <xf numFmtId="0" fontId="3" fillId="4" borderId="1" applyAlignment="1" pivotButton="0" quotePrefix="0" xfId="0">
      <alignment vertical="top"/>
    </xf>
    <xf numFmtId="0" fontId="2" fillId="5" borderId="1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1" pivotButton="0" quotePrefix="0" xfId="0"/>
    <xf numFmtId="0" fontId="2" fillId="0" borderId="1" applyAlignment="1" pivotButton="0" quotePrefix="0" xfId="0">
      <alignment horizontal="right"/>
    </xf>
    <xf numFmtId="164" fontId="2" fillId="0" borderId="1" applyAlignment="1" pivotButton="0" quotePrefix="0" xfId="0">
      <alignment horizontal="right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paapaapaapaapa2006-source.github.io/Oto/rainbow-ayatori/" TargetMode="External" Id="rId1" /><Relationship Type="http://schemas.openxmlformats.org/officeDocument/2006/relationships/hyperlink" Target="https://github.com/apaapaapaapaapa2006-source/Oto/blob/claude/upload-project-github-w5g1fq/rainbow-ayatori/index.html" TargetMode="External" Id="rId2" /><Relationship Type="http://schemas.openxmlformats.org/officeDocument/2006/relationships/hyperlink" Target="https://apaapaapaapaapa2006-source.github.io/Oto/dark-sonar/" TargetMode="External" Id="rId3" /><Relationship Type="http://schemas.openxmlformats.org/officeDocument/2006/relationships/hyperlink" Target="https://github.com/apaapaapaapaapa2006-source/Oto/blob/claude/upload-project-github-w5g1fq/dark-sonar/index.html" TargetMode="External" Id="rId4" /><Relationship Type="http://schemas.openxmlformats.org/officeDocument/2006/relationships/hyperlink" Target="https://apaapaapaapaapa2006-source.github.io/Oto/photon%20harp.html" TargetMode="External" Id="rId5" /><Relationship Type="http://schemas.openxmlformats.org/officeDocument/2006/relationships/hyperlink" Target="https://github.com/apaapaapaapaapa2006-source/Oto/blob/claude/upload-project-github-w5g1fq/photon%20harp.html" TargetMode="External" Id="rId6" /><Relationship Type="http://schemas.openxmlformats.org/officeDocument/2006/relationships/hyperlink" Target="https://apaapaapaapaapa2006-source.github.io/Oto/contour-3/" TargetMode="External" Id="rId7" /><Relationship Type="http://schemas.openxmlformats.org/officeDocument/2006/relationships/hyperlink" Target="https://github.com/apaapaapaapaapa2006-source/Oto/blob/claude/upload-project-github-w5g1fq/contour-3/index.html" TargetMode="External" Id="rId8" /><Relationship Type="http://schemas.openxmlformats.org/officeDocument/2006/relationships/hyperlink" Target="https://apaapaapaapaapa2006-source.github.io/Oto/sigil/" TargetMode="External" Id="rId9" /><Relationship Type="http://schemas.openxmlformats.org/officeDocument/2006/relationships/hyperlink" Target="https://github.com/apaapaapaapaapa2006-source/Oto/blob/claude/upload-project-github-w5g1fq/sigil/index.html" TargetMode="External" Id="rId10" /><Relationship Type="http://schemas.openxmlformats.org/officeDocument/2006/relationships/hyperlink" Target="https://apaapaapaapaapa2006-source.github.io/Oto/aurora/" TargetMode="External" Id="rId11" /><Relationship Type="http://schemas.openxmlformats.org/officeDocument/2006/relationships/hyperlink" Target="https://github.com/apaapaapaapaapa2006-source/Oto/blob/claude/upload-project-github-w5g1fq/aurora/index.html" TargetMode="External" Id="rId12" /><Relationship Type="http://schemas.openxmlformats.org/officeDocument/2006/relationships/hyperlink" Target="https://apaapaapaapaapa2006-source.github.io/Oto/siren/" TargetMode="External" Id="rId13" /><Relationship Type="http://schemas.openxmlformats.org/officeDocument/2006/relationships/hyperlink" Target="https://github.com/apaapaapaapaapa2006-source/Oto/blob/claude/upload-project-github-w5g1fq/siren/index.html" TargetMode="External" Id="rId14" /><Relationship Type="http://schemas.openxmlformats.org/officeDocument/2006/relationships/hyperlink" Target="https://apaapaapaapaapa2006-source.github.io/Oto/punch-beat/" TargetMode="External" Id="rId15" /><Relationship Type="http://schemas.openxmlformats.org/officeDocument/2006/relationships/hyperlink" Target="https://github.com/apaapaapaapaapa2006-source/Oto/blob/claude/upload-project-github-w5g1fq/punch-beat/index.html" TargetMode="External" Id="rId16" /><Relationship Type="http://schemas.openxmlformats.org/officeDocument/2006/relationships/hyperlink" Target="https://apaapaapaapaapa2006-source.github.io/Oto/croco-panic/" TargetMode="External" Id="rId17" /><Relationship Type="http://schemas.openxmlformats.org/officeDocument/2006/relationships/hyperlink" Target="https://github.com/apaapaapaapaapa2006-source/Oto/blob/claude/upload-project-github-w5g1fq/croco-panic/index.html" TargetMode="External" Id="rId18" /><Relationship Type="http://schemas.openxmlformats.org/officeDocument/2006/relationships/hyperlink" Target="https://apaapaapaapaapa2006-source.github.io/Oto/penumbra/" TargetMode="External" Id="rId19" /><Relationship Type="http://schemas.openxmlformats.org/officeDocument/2006/relationships/hyperlink" Target="https://github.com/apaapaapaapaapa2006-source/Oto/blob/claude/upload-project-github-w5g1fq/penumbra/index.html" TargetMode="External" Id="rId20" /><Relationship Type="http://schemas.openxmlformats.org/officeDocument/2006/relationships/hyperlink" Target="https://apaapaapaapaapa2006-source.github.io/Oto/iris/" TargetMode="External" Id="rId21" /><Relationship Type="http://schemas.openxmlformats.org/officeDocument/2006/relationships/hyperlink" Target="https://github.com/apaapaapaapaapa2006-source/Oto/blob/claude/upload-project-github-w5g1fq/iris/index.html" TargetMode="External" Id="rId22" /><Relationship Type="http://schemas.openxmlformats.org/officeDocument/2006/relationships/hyperlink" Target="https://apaapaapaapaapa2006-source.github.io/Oto/sumi/" TargetMode="External" Id="rId23" /><Relationship Type="http://schemas.openxmlformats.org/officeDocument/2006/relationships/hyperlink" Target="https://github.com/apaapaapaapaapa2006-source/Oto/blob/claude/upload-project-github-w5g1fq/sumi/index.html" TargetMode="External" Id="rId24" /><Relationship Type="http://schemas.openxmlformats.org/officeDocument/2006/relationships/hyperlink" Target="https://apaapaapaapaapa2006-source.github.io/Oto/cascade/" TargetMode="External" Id="rId25" /><Relationship Type="http://schemas.openxmlformats.org/officeDocument/2006/relationships/hyperlink" Target="https://github.com/apaapaapaapaapa2006-source/Oto/blob/claude/upload-project-github-w5g1fq/cascade/index.html" TargetMode="External" Id="rId26" /><Relationship Type="http://schemas.openxmlformats.org/officeDocument/2006/relationships/hyperlink" Target="https://apaapaapaapaapa2006-source.github.io/Oto/kotodama/" TargetMode="External" Id="rId27" /><Relationship Type="http://schemas.openxmlformats.org/officeDocument/2006/relationships/hyperlink" Target="https://github.com/apaapaapaapaapa2006-source/Oto/blob/claude/upload-project-github-w5g1fq/kotodama/index.html" TargetMode="External" Id="rId28" /><Relationship Type="http://schemas.openxmlformats.org/officeDocument/2006/relationships/hyperlink" Target="https://apaapaapaapaapa2006-source.github.io/Oto/daruma/" TargetMode="External" Id="rId29" /><Relationship Type="http://schemas.openxmlformats.org/officeDocument/2006/relationships/hyperlink" Target="https://github.com/apaapaapaapaapa2006-source/Oto/blob/claude/upload-project-github-w5g1fq/daruma/index.html" TargetMode="External" Id="rId30" /><Relationship Type="http://schemas.openxmlformats.org/officeDocument/2006/relationships/hyperlink" Target="https://apaapaapaapaapa2006-source.github.io/Oto/orgel/" TargetMode="External" Id="rId31" /><Relationship Type="http://schemas.openxmlformats.org/officeDocument/2006/relationships/hyperlink" Target="https://github.com/apaapaapaapaapa2006-source/Oto/blob/claude/upload-project-github-w5g1fq/orgel/index.html" TargetMode="External" Id="rId32" /><Relationship Type="http://schemas.openxmlformats.org/officeDocument/2006/relationships/hyperlink" Target="https://apaapaapaapaapa2006-source.github.io/Oto/kata/" TargetMode="External" Id="rId33" /><Relationship Type="http://schemas.openxmlformats.org/officeDocument/2006/relationships/hyperlink" Target="https://github.com/apaapaapaapaapa2006-source/Oto/blob/claude/upload-project-github-w5g1fq/kata/index.html" TargetMode="External" Id="rId34" /><Relationship Type="http://schemas.openxmlformats.org/officeDocument/2006/relationships/hyperlink" Target="https://apaapaapaapaapa2006-source.github.io/Oto/yamabiko/" TargetMode="External" Id="rId35" /><Relationship Type="http://schemas.openxmlformats.org/officeDocument/2006/relationships/hyperlink" Target="https://github.com/apaapaapaapaapa2006-source/Oto/blob/claude/upload-project-github-w5g1fq/yamabiko/index.html" TargetMode="External" Id="rId36" /><Relationship Type="http://schemas.openxmlformats.org/officeDocument/2006/relationships/hyperlink" Target="https://apaapaapaapaapa2006-source.github.io/Oto/furin/" TargetMode="External" Id="rId37" /><Relationship Type="http://schemas.openxmlformats.org/officeDocument/2006/relationships/hyperlink" Target="https://github.com/apaapaapaapaapa2006-source/Oto/blob/claude/upload-project-github-w5g1fq/furin/index.html" TargetMode="External" Id="rId38" /><Relationship Type="http://schemas.openxmlformats.org/officeDocument/2006/relationships/hyperlink" Target="https://apaapaapaapaapa2006-source.github.io/Oto/hotaru/" TargetMode="External" Id="rId39" /><Relationship Type="http://schemas.openxmlformats.org/officeDocument/2006/relationships/hyperlink" Target="https://github.com/apaapaapaapaapa2006-source/Oto/blob/claude/upload-project-github-w5g1fq/hotaru/index.html" TargetMode="External" Id="rId40" /><Relationship Type="http://schemas.openxmlformats.org/officeDocument/2006/relationships/hyperlink" Target="https://apaapaapaapaapa2006-source.github.io/Oto/kagami/" TargetMode="External" Id="rId41" /><Relationship Type="http://schemas.openxmlformats.org/officeDocument/2006/relationships/hyperlink" Target="https://github.com/apaapaapaapaapa2006-source/Oto/blob/claude/upload-project-github-w5g1fq/kagami/index.html" TargetMode="External" Id="rId42" /></Relationships>
</file>

<file path=xl/worksheets/_rels/sheet2.xml.rels><Relationships xmlns="http://schemas.openxmlformats.org/package/2006/relationships"><Relationship Type="http://schemas.openxmlformats.org/officeDocument/2006/relationships/hyperlink" Target="https://github.com/apaapaapaapaapa2006-source/Oto" TargetMode="External" Id="rId1" /><Relationship Type="http://schemas.openxmlformats.org/officeDocument/2006/relationships/hyperlink" Target="https://apaapaapaapaapa2006-source.github.io/Oto/" TargetMode="Externa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4" customWidth="1" min="2" max="2"/>
    <col width="18" customWidth="1" min="3" max="3"/>
    <col width="26" customWidth="1" min="4" max="4"/>
    <col width="7" customWidth="1" min="5" max="5"/>
    <col width="12" customWidth="1" min="6" max="6"/>
    <col width="16" customWidth="1" min="7" max="7"/>
    <col width="60" customWidth="1" min="8" max="8"/>
    <col width="40" customWidth="1" min="9" max="9"/>
    <col width="26" customWidth="1" min="10" max="10"/>
    <col width="7" customWidth="1" min="11" max="11"/>
    <col width="10" customWidth="1" min="12" max="12"/>
    <col width="11" customWidth="1" min="13" max="13"/>
    <col width="11" customWidth="1" min="14" max="14"/>
    <col width="8" customWidth="1" min="15" max="15"/>
    <col width="46" customWidth="1" min="16" max="16"/>
    <col width="46" customWidth="1" min="17" max="17"/>
  </cols>
  <sheetData>
    <row r="1" ht="28" customHeight="1">
      <c r="A1" s="1" t="inlineStr">
        <is>
          <t>No</t>
        </is>
      </c>
      <c r="B1" s="1" t="inlineStr"/>
      <c r="C1" s="1" t="inlineStr">
        <is>
          <t>作品名</t>
        </is>
      </c>
      <c r="D1" s="1" t="inlineStr">
        <is>
          <t>タイトル</t>
        </is>
      </c>
      <c r="E1" s="1" t="inlineStr">
        <is>
          <t>種別</t>
        </is>
      </c>
      <c r="F1" s="1" t="inlineStr">
        <is>
          <t>タグ区分</t>
        </is>
      </c>
      <c r="G1" s="1" t="inlineStr">
        <is>
          <t>カテゴリ</t>
        </is>
      </c>
      <c r="H1" s="1" t="inlineStr">
        <is>
          <t>説明</t>
        </is>
      </c>
      <c r="I1" s="1" t="inlineStr">
        <is>
          <t>使用技術</t>
        </is>
      </c>
      <c r="J1" s="1" t="inlineStr">
        <is>
          <t>ファイル</t>
        </is>
      </c>
      <c r="K1" s="1" t="inlineStr">
        <is>
          <t>行数</t>
        </is>
      </c>
      <c r="L1" s="1" t="inlineStr">
        <is>
          <t>サイズ(KB)</t>
        </is>
      </c>
      <c r="M1" s="1" t="inlineStr">
        <is>
          <t>公開日</t>
        </is>
      </c>
      <c r="N1" s="1" t="inlineStr">
        <is>
          <t>最終更新</t>
        </is>
      </c>
      <c r="O1" s="1" t="inlineStr">
        <is>
          <t>コミット数</t>
        </is>
      </c>
      <c r="P1" s="1" t="inlineStr">
        <is>
          <t>デモURL</t>
        </is>
      </c>
      <c r="Q1" s="1" t="inlineStr">
        <is>
          <t>ソースURL</t>
        </is>
      </c>
    </row>
    <row r="2" ht="46" customHeight="1">
      <c r="A2" s="2" t="n">
        <v>1</v>
      </c>
      <c r="B2" s="3" t="inlineStr">
        <is>
          <t>🌈</t>
        </is>
      </c>
      <c r="C2" s="2" t="inlineStr">
        <is>
          <t>RAINBOW YARN</t>
        </is>
      </c>
      <c r="D2" s="2" t="inlineStr">
        <is>
          <t>RAINBOW YARN ─ 虹あやとり</t>
        </is>
      </c>
      <c r="E2" s="4" t="inlineStr">
        <is>
          <t>楽器</t>
        </is>
      </c>
      <c r="F2" s="2" t="inlineStr">
        <is>
          <t>HANDS</t>
        </is>
      </c>
      <c r="G2" s="2" t="inlineStr">
        <is>
          <t>虹あやとり</t>
        </is>
      </c>
      <c r="H2" s="5" t="inlineStr">
        <is>
          <t>両手の指先に虹色のあやとりが生まれる。指の本数と手の広げ具合で音色が変わり、両手グーで音が止まる。</t>
        </is>
      </c>
      <c r="I2" s="5" t="inlineStr">
        <is>
          <t>MediaPipe Hands / Web Audio / カメラ(getUserMedia) / Canvas 2D</t>
        </is>
      </c>
      <c r="J2" s="2" t="inlineStr">
        <is>
          <t>rainbow-ayatori/index.html</t>
        </is>
      </c>
      <c r="K2" s="6" t="n">
        <v>864</v>
      </c>
      <c r="L2" s="7" t="n">
        <v>36.2</v>
      </c>
      <c r="M2" s="8" t="n">
        <v>46220</v>
      </c>
      <c r="N2" s="8" t="n">
        <v>46220</v>
      </c>
      <c r="O2" s="9" t="n">
        <v>1</v>
      </c>
      <c r="P2" s="10" t="inlineStr">
        <is>
          <t>https://apaapaapaapaapa2006-source.github.io/Oto/rainbow-ayatori/</t>
        </is>
      </c>
      <c r="Q2" s="10" t="inlineStr">
        <is>
          <t>https://github.com/apaapaapaapaapa2006-source/Oto/blob/claude/upload-project-github-w5g1fq/rainbow-ayatori/index.html</t>
        </is>
      </c>
    </row>
    <row r="3" ht="46" customHeight="1">
      <c r="A3" s="11" t="n">
        <v>2</v>
      </c>
      <c r="B3" s="12" t="inlineStr">
        <is>
          <t>🌑</t>
        </is>
      </c>
      <c r="C3" s="11" t="inlineStr">
        <is>
          <t>DARK SONAR</t>
        </is>
      </c>
      <c r="D3" s="11" t="inlineStr">
        <is>
          <t>DARK SONAR — 音だけが光</t>
        </is>
      </c>
      <c r="E3" s="4" t="inlineStr">
        <is>
          <t>楽器</t>
        </is>
      </c>
      <c r="F3" s="11" t="inlineStr">
        <is>
          <t>MOTION</t>
        </is>
      </c>
      <c r="G3" s="11" t="inlineStr">
        <is>
          <t>ソナー</t>
        </is>
      </c>
      <c r="H3" s="13" t="inlineStr">
        <is>
          <t>暗闇に響くソナーの楽器。動きが波紋になり、手拍子にも反応する。</t>
        </is>
      </c>
      <c r="I3" s="13" t="inlineStr">
        <is>
          <t>Web Audio / カメラ(getUserMedia)</t>
        </is>
      </c>
      <c r="J3" s="11" t="inlineStr">
        <is>
          <t>dark-sonar/index.html</t>
        </is>
      </c>
      <c r="K3" s="14" t="n">
        <v>79</v>
      </c>
      <c r="L3" s="15" t="n">
        <v>15.3</v>
      </c>
      <c r="M3" s="16" t="n">
        <v>46215</v>
      </c>
      <c r="N3" s="16" t="n">
        <v>46215</v>
      </c>
      <c r="O3" s="17" t="n">
        <v>2</v>
      </c>
      <c r="P3" s="18" t="inlineStr">
        <is>
          <t>https://apaapaapaapaapa2006-source.github.io/Oto/dark-sonar/</t>
        </is>
      </c>
      <c r="Q3" s="18" t="inlineStr">
        <is>
          <t>https://github.com/apaapaapaapaapa2006-source/Oto/blob/claude/upload-project-github-w5g1fq/dark-sonar/index.html</t>
        </is>
      </c>
    </row>
    <row r="4" ht="46" customHeight="1">
      <c r="A4" s="2" t="n">
        <v>3</v>
      </c>
      <c r="B4" s="3" t="inlineStr">
        <is>
          <t>✨</t>
        </is>
      </c>
      <c r="C4" s="2" t="inlineStr">
        <is>
          <t>PHOTON HARP</t>
        </is>
      </c>
      <c r="D4" s="2" t="inlineStr">
        <is>
          <t>PHOTON HARP</t>
        </is>
      </c>
      <c r="E4" s="4" t="inlineStr">
        <is>
          <t>楽器</t>
        </is>
      </c>
      <c r="F4" s="2" t="inlineStr">
        <is>
          <t>HANDS</t>
        </is>
      </c>
      <c r="G4" s="2" t="inlineStr">
        <is>
          <t>ハープ</t>
        </is>
      </c>
      <c r="H4" s="5" t="inlineStr">
        <is>
          <t>カメラで演奏する光のハープ。手の動きが弦をはじく。</t>
        </is>
      </c>
      <c r="I4" s="5" t="inlineStr">
        <is>
          <t>MediaPipe Hands / Web Audio / Canvas 2D</t>
        </is>
      </c>
      <c r="J4" s="2" t="inlineStr">
        <is>
          <t>photon harp.html</t>
        </is>
      </c>
      <c r="K4" s="6" t="n">
        <v>400</v>
      </c>
      <c r="L4" s="7" t="n">
        <v>14.6</v>
      </c>
      <c r="M4" s="8" t="n">
        <v>46210</v>
      </c>
      <c r="N4" s="8" t="n">
        <v>46210</v>
      </c>
      <c r="O4" s="9" t="n">
        <v>1</v>
      </c>
      <c r="P4" s="10" t="inlineStr">
        <is>
          <t>https://apaapaapaapaapa2006-source.github.io/Oto/photon%20harp.html</t>
        </is>
      </c>
      <c r="Q4" s="10" t="inlineStr">
        <is>
          <t>https://github.com/apaapaapaapaapa2006-source/Oto/blob/claude/upload-project-github-w5g1fq/photon%20harp.html</t>
        </is>
      </c>
    </row>
    <row r="5" ht="46" customHeight="1">
      <c r="A5" s="11" t="n">
        <v>4</v>
      </c>
      <c r="B5" s="12" t="inlineStr">
        <is>
          <t>🫥</t>
        </is>
      </c>
      <c r="C5" s="11" t="inlineStr">
        <is>
          <t>CONTOUR</t>
        </is>
      </c>
      <c r="D5" s="11" t="inlineStr">
        <is>
          <t>CONTOUR</t>
        </is>
      </c>
      <c r="E5" s="4" t="inlineStr">
        <is>
          <t>楽器</t>
        </is>
      </c>
      <c r="F5" s="11" t="inlineStr">
        <is>
          <t>FACE &amp; HANDS</t>
        </is>
      </c>
      <c r="G5" s="11" t="inlineStr">
        <is>
          <t>表情楽器</t>
        </is>
      </c>
      <c r="H5" s="13" t="inlineStr">
        <is>
          <t>顔が、楽器になる。表情と両手のジェスチャーで音と光を操るインストゥルメント。</t>
        </is>
      </c>
      <c r="I5" s="13" t="inlineStr">
        <is>
          <t>MediaPipe Hands / Face Landmarker / Web Audio / カメラ(getUserMedia) / Canvas 2D</t>
        </is>
      </c>
      <c r="J5" s="11" t="inlineStr">
        <is>
          <t>contour-3/index.html</t>
        </is>
      </c>
      <c r="K5" s="14" t="n">
        <v>1058</v>
      </c>
      <c r="L5" s="15" t="n">
        <v>36.2</v>
      </c>
      <c r="M5" s="16" t="n">
        <v>46221</v>
      </c>
      <c r="N5" s="16" t="n">
        <v>46221</v>
      </c>
      <c r="O5" s="17" t="n">
        <v>1</v>
      </c>
      <c r="P5" s="18" t="inlineStr">
        <is>
          <t>https://apaapaapaapaapa2006-source.github.io/Oto/contour-3/</t>
        </is>
      </c>
      <c r="Q5" s="18" t="inlineStr">
        <is>
          <t>https://github.com/apaapaapaapaapa2006-source/Oto/blob/claude/upload-project-github-w5g1fq/contour-3/index.html</t>
        </is>
      </c>
    </row>
    <row r="6" ht="46" customHeight="1">
      <c r="A6" s="2" t="n">
        <v>5</v>
      </c>
      <c r="B6" s="3" t="inlineStr">
        <is>
          <t>🔮</t>
        </is>
      </c>
      <c r="C6" s="2" t="inlineStr">
        <is>
          <t>SIGIL</t>
        </is>
      </c>
      <c r="D6" s="2" t="inlineStr">
        <is>
          <t>SIGIL ─ 電脳魔法陣</t>
        </is>
      </c>
      <c r="E6" s="4" t="inlineStr">
        <is>
          <t>楽器</t>
        </is>
      </c>
      <c r="F6" s="2" t="inlineStr">
        <is>
          <t>HANDS</t>
        </is>
      </c>
      <c r="G6" s="2" t="inlineStr">
        <is>
          <t>電脳魔法陣</t>
        </is>
      </c>
      <c r="H6" s="5" t="inlineStr">
        <is>
          <t>手が電脳魔法陣を紡ぐ楽器。指の本数でルーンが展開し、拳を握ると呪文を詠唱して光が弾ける。</t>
        </is>
      </c>
      <c r="I6" s="5" t="inlineStr">
        <is>
          <t>MediaPipe Hands / Web Audio / カメラ(getUserMedia) / Canvas 2D</t>
        </is>
      </c>
      <c r="J6" s="2" t="inlineStr">
        <is>
          <t>sigil/index.html</t>
        </is>
      </c>
      <c r="K6" s="6" t="n">
        <v>844</v>
      </c>
      <c r="L6" s="7" t="n">
        <v>36</v>
      </c>
      <c r="M6" s="8" t="n">
        <v>46247</v>
      </c>
      <c r="N6" s="8" t="n">
        <v>46247</v>
      </c>
      <c r="O6" s="9" t="n">
        <v>1</v>
      </c>
      <c r="P6" s="10" t="inlineStr">
        <is>
          <t>https://apaapaapaapaapa2006-source.github.io/Oto/sigil/</t>
        </is>
      </c>
      <c r="Q6" s="10" t="inlineStr">
        <is>
          <t>https://github.com/apaapaapaapaapa2006-source/Oto/blob/claude/upload-project-github-w5g1fq/sigil/index.html</t>
        </is>
      </c>
    </row>
    <row r="7" ht="46" customHeight="1">
      <c r="A7" s="11" t="n">
        <v>6</v>
      </c>
      <c r="B7" s="12" t="inlineStr">
        <is>
          <t>🌌</t>
        </is>
      </c>
      <c r="C7" s="11" t="inlineStr">
        <is>
          <t>AURORA</t>
        </is>
      </c>
      <c r="D7" s="11" t="inlineStr">
        <is>
          <t>AURORA ─ 星々の指揮者</t>
        </is>
      </c>
      <c r="E7" s="4" t="inlineStr">
        <is>
          <t>楽器</t>
        </is>
      </c>
      <c r="F7" s="11" t="inlineStr">
        <is>
          <t>BODY</t>
        </is>
      </c>
      <c r="G7" s="11" t="inlineStr">
        <is>
          <t>星の指揮者</t>
        </is>
      </c>
      <c r="H7" s="13" t="inlineStr">
        <is>
          <t>全身の動きで星々をつなぎ、オーロラを奏でる楽器。手を高く掲げると音が輝き、素早く動かすと流れ星が鳴る。</t>
        </is>
      </c>
      <c r="I7" s="13" t="inlineStr">
        <is>
          <t>MediaPipe Pose / Web Audio / カメラ(getUserMedia) / Canvas 2D</t>
        </is>
      </c>
      <c r="J7" s="11" t="inlineStr">
        <is>
          <t>aurora/index.html</t>
        </is>
      </c>
      <c r="K7" s="14" t="n">
        <v>615</v>
      </c>
      <c r="L7" s="15" t="n">
        <v>27.1</v>
      </c>
      <c r="M7" s="16" t="n">
        <v>46247</v>
      </c>
      <c r="N7" s="16" t="n">
        <v>46247</v>
      </c>
      <c r="O7" s="17" t="n">
        <v>1</v>
      </c>
      <c r="P7" s="18" t="inlineStr">
        <is>
          <t>https://apaapaapaapaapa2006-source.github.io/Oto/aurora/</t>
        </is>
      </c>
      <c r="Q7" s="18" t="inlineStr">
        <is>
          <t>https://github.com/apaapaapaapaapa2006-source/Oto/blob/claude/upload-project-github-w5g1fq/aurora/index.html</t>
        </is>
      </c>
    </row>
    <row r="8" ht="46" customHeight="1">
      <c r="A8" s="2" t="n">
        <v>7</v>
      </c>
      <c r="B8" s="3" t="inlineStr">
        <is>
          <t>👻</t>
        </is>
      </c>
      <c r="C8" s="2" t="inlineStr">
        <is>
          <t>SIREN</t>
        </is>
      </c>
      <c r="D8" s="2" t="inlineStr">
        <is>
          <t>SIREN ─ 歌う幻影</t>
        </is>
      </c>
      <c r="E8" s="4" t="inlineStr">
        <is>
          <t>楽器</t>
        </is>
      </c>
      <c r="F8" s="2" t="inlineStr">
        <is>
          <t>VOICE &amp; HAND</t>
        </is>
      </c>
      <c r="G8" s="2" t="inlineStr">
        <is>
          <t>声の幻影</t>
        </is>
      </c>
      <c r="H8" s="5" t="inlineStr">
        <is>
          <t>マイクに歌うと声の高さがそのまま幻影の声になる楽器。片手にその魂が宿り、握りしめると声が消える。</t>
        </is>
      </c>
      <c r="I8" s="5" t="inlineStr">
        <is>
          <t>MediaPipe Hands / Web Audio / カメラ(getUserMedia) / Canvas 2D</t>
        </is>
      </c>
      <c r="J8" s="2" t="inlineStr">
        <is>
          <t>siren/index.html</t>
        </is>
      </c>
      <c r="K8" s="6" t="n">
        <v>861</v>
      </c>
      <c r="L8" s="7" t="n">
        <v>35.5</v>
      </c>
      <c r="M8" s="8" t="n">
        <v>46247</v>
      </c>
      <c r="N8" s="8" t="n">
        <v>46247</v>
      </c>
      <c r="O8" s="9" t="n">
        <v>1</v>
      </c>
      <c r="P8" s="10" t="inlineStr">
        <is>
          <t>https://apaapaapaapaapa2006-source.github.io/Oto/siren/</t>
        </is>
      </c>
      <c r="Q8" s="10" t="inlineStr">
        <is>
          <t>https://github.com/apaapaapaapaapa2006-source/Oto/blob/claude/upload-project-github-w5g1fq/siren/index.html</t>
        </is>
      </c>
    </row>
    <row r="9" ht="46" customHeight="1">
      <c r="A9" s="11" t="n">
        <v>8</v>
      </c>
      <c r="B9" s="12" t="inlineStr">
        <is>
          <t>🥊</t>
        </is>
      </c>
      <c r="C9" s="11" t="inlineStr">
        <is>
          <t>PUNCH BEAT</t>
        </is>
      </c>
      <c r="D9" s="11" t="inlineStr">
        <is>
          <t>PUNCH BEAT ─ 光る的を撃ち抜け</t>
        </is>
      </c>
      <c r="E9" s="19" t="inlineStr">
        <is>
          <t>ゲーム</t>
        </is>
      </c>
      <c r="F9" s="11" t="inlineStr">
        <is>
          <t>GAME</t>
        </is>
      </c>
      <c r="G9" s="11" t="inlineStr">
        <is>
          <t>リズムパンチ</t>
        </is>
      </c>
      <c r="H9" s="13" t="inlineStr">
        <is>
          <t>光る的をリズムよくパンチするカメラゲーム。タイミングが良いほど高得点、外すとHPが減りゲームオーバーに。</t>
        </is>
      </c>
      <c r="I9" s="13" t="inlineStr">
        <is>
          <t>MediaPipe Hands / Web Audio / カメラ(getUserMedia) / Canvas 2D</t>
        </is>
      </c>
      <c r="J9" s="11" t="inlineStr">
        <is>
          <t>punch-beat/index.html</t>
        </is>
      </c>
      <c r="K9" s="14" t="n">
        <v>763</v>
      </c>
      <c r="L9" s="15" t="n">
        <v>31.6</v>
      </c>
      <c r="M9" s="16" t="n">
        <v>46248</v>
      </c>
      <c r="N9" s="16" t="n">
        <v>46248</v>
      </c>
      <c r="O9" s="17" t="n">
        <v>1</v>
      </c>
      <c r="P9" s="18" t="inlineStr">
        <is>
          <t>https://apaapaapaapaapa2006-source.github.io/Oto/punch-beat/</t>
        </is>
      </c>
      <c r="Q9" s="18" t="inlineStr">
        <is>
          <t>https://github.com/apaapaapaapaapa2006-source/Oto/blob/claude/upload-project-github-w5g1fq/punch-beat/index.html</t>
        </is>
      </c>
    </row>
    <row r="10" ht="46" customHeight="1">
      <c r="A10" s="2" t="n">
        <v>9</v>
      </c>
      <c r="B10" s="3" t="inlineStr">
        <is>
          <t>🐊</t>
        </is>
      </c>
      <c r="C10" s="2" t="inlineStr">
        <is>
          <t>CROCO PANIC</t>
        </is>
      </c>
      <c r="D10" s="2" t="inlineStr">
        <is>
          <t>CROCO PANIC ─ 電脳ワニワニパニック</t>
        </is>
      </c>
      <c r="E10" s="19" t="inlineStr">
        <is>
          <t>ゲーム</t>
        </is>
      </c>
      <c r="F10" s="2" t="inlineStr">
        <is>
          <t>GAME</t>
        </is>
      </c>
      <c r="G10" s="2" t="inlineStr">
        <is>
          <t>もぐらたたき</t>
        </is>
      </c>
      <c r="H10" s="5" t="inlineStr">
        <is>
          <t>電脳ワニワニパニック。ハッチから飛び出すネオンのワニを手で叩け。トラップを誤爆すると減点、45秒のタイムアタック。</t>
        </is>
      </c>
      <c r="I10" s="5" t="inlineStr">
        <is>
          <t>MediaPipe Hands / Web Audio / カメラ(getUserMedia) / Canvas 2D</t>
        </is>
      </c>
      <c r="J10" s="2" t="inlineStr">
        <is>
          <t>croco-panic/index.html</t>
        </is>
      </c>
      <c r="K10" s="6" t="n">
        <v>901</v>
      </c>
      <c r="L10" s="7" t="n">
        <v>36.4</v>
      </c>
      <c r="M10" s="8" t="n">
        <v>46249</v>
      </c>
      <c r="N10" s="8" t="n">
        <v>46250</v>
      </c>
      <c r="O10" s="9" t="n">
        <v>2</v>
      </c>
      <c r="P10" s="10" t="inlineStr">
        <is>
          <t>https://apaapaapaapaapa2006-source.github.io/Oto/croco-panic/</t>
        </is>
      </c>
      <c r="Q10" s="10" t="inlineStr">
        <is>
          <t>https://github.com/apaapaapaapaapa2006-source/Oto/blob/claude/upload-project-github-w5g1fq/croco-panic/index.html</t>
        </is>
      </c>
    </row>
    <row r="11" ht="46" customHeight="1">
      <c r="A11" s="11" t="n">
        <v>10</v>
      </c>
      <c r="B11" s="12" t="inlineStr">
        <is>
          <t>👤</t>
        </is>
      </c>
      <c r="C11" s="11" t="inlineStr">
        <is>
          <t>PENUMBRA</t>
        </is>
      </c>
      <c r="D11" s="11" t="inlineStr">
        <is>
          <t>PENUMBRA ─ 影の竪琴</t>
        </is>
      </c>
      <c r="E11" s="4" t="inlineStr">
        <is>
          <t>楽器</t>
        </is>
      </c>
      <c r="F11" s="11" t="inlineStr">
        <is>
          <t>SILHOUETTE</t>
        </is>
      </c>
      <c r="G11" s="11" t="inlineStr">
        <is>
          <t>影の竪琴</t>
        </is>
      </c>
      <c r="H11" s="13" t="inlineStr">
        <is>
          <t>カメラの前に立つと影が浮かび上がり、体の動きが12本の光の弦を弾く楽器。影を大きく広げるほど伴奏が厚くなる。</t>
        </is>
      </c>
      <c r="I11" s="13" t="inlineStr">
        <is>
          <t>Selfie Segmentation / Web Audio / カメラ(getUserMedia) / Canvas 2D</t>
        </is>
      </c>
      <c r="J11" s="11" t="inlineStr">
        <is>
          <t>penumbra/index.html</t>
        </is>
      </c>
      <c r="K11" s="14" t="n">
        <v>694</v>
      </c>
      <c r="L11" s="15" t="n">
        <v>28.9</v>
      </c>
      <c r="M11" s="16" t="n">
        <v>46249</v>
      </c>
      <c r="N11" s="16" t="n">
        <v>46249</v>
      </c>
      <c r="O11" s="17" t="n">
        <v>1</v>
      </c>
      <c r="P11" s="18" t="inlineStr">
        <is>
          <t>https://apaapaapaapaapa2006-source.github.io/Oto/penumbra/</t>
        </is>
      </c>
      <c r="Q11" s="18" t="inlineStr">
        <is>
          <t>https://github.com/apaapaapaapaapa2006-source/Oto/blob/claude/upload-project-github-w5g1fq/penumbra/index.html</t>
        </is>
      </c>
    </row>
    <row r="12" ht="46" customHeight="1">
      <c r="A12" s="2" t="n">
        <v>11</v>
      </c>
      <c r="B12" s="3" t="inlineStr">
        <is>
          <t>👁</t>
        </is>
      </c>
      <c r="C12" s="2" t="inlineStr">
        <is>
          <t>IRIS</t>
        </is>
      </c>
      <c r="D12" s="2" t="inlineStr">
        <is>
          <t>IRIS ─ 視線のテルミン</t>
        </is>
      </c>
      <c r="E12" s="4" t="inlineStr">
        <is>
          <t>楽器</t>
        </is>
      </c>
      <c r="F12" s="2" t="inlineStr">
        <is>
          <t>GAZE</t>
        </is>
      </c>
      <c r="G12" s="2" t="inlineStr">
        <is>
          <t>視線の巫女</t>
        </is>
      </c>
      <c r="H12" s="5" t="inlineStr">
        <is>
          <t>視線がルーンを灯す楽器。浮かぶ8つの符を目で狙うと音が鳴り続け、まばたきで澄んだ音が弾ける。両目を閉じると静寂が訪れる。</t>
        </is>
      </c>
      <c r="I12" s="5" t="inlineStr">
        <is>
          <t>Face Landmarker / Web Audio / カメラ(getUserMedia) / Canvas 2D</t>
        </is>
      </c>
      <c r="J12" s="2" t="inlineStr">
        <is>
          <t>iris/index.html</t>
        </is>
      </c>
      <c r="K12" s="6" t="n">
        <v>837</v>
      </c>
      <c r="L12" s="7" t="n">
        <v>34.3</v>
      </c>
      <c r="M12" s="8" t="n">
        <v>46250</v>
      </c>
      <c r="N12" s="8" t="n">
        <v>46250</v>
      </c>
      <c r="O12" s="9" t="n">
        <v>1</v>
      </c>
      <c r="P12" s="10" t="inlineStr">
        <is>
          <t>https://apaapaapaapaapa2006-source.github.io/Oto/iris/</t>
        </is>
      </c>
      <c r="Q12" s="10" t="inlineStr">
        <is>
          <t>https://github.com/apaapaapaapaapa2006-source/Oto/blob/claude/upload-project-github-w5g1fq/iris/index.html</t>
        </is>
      </c>
    </row>
    <row r="13" ht="46" customHeight="1">
      <c r="A13" s="11" t="n">
        <v>12</v>
      </c>
      <c r="B13" s="12" t="inlineStr">
        <is>
          <t>🖌</t>
        </is>
      </c>
      <c r="C13" s="11" t="inlineStr">
        <is>
          <t>SUMI</t>
        </is>
      </c>
      <c r="D13" s="11" t="inlineStr">
        <is>
          <t>SUMI ─ 墨のにじみ</t>
        </is>
      </c>
      <c r="E13" s="4" t="inlineStr">
        <is>
          <t>楽器</t>
        </is>
      </c>
      <c r="F13" s="11" t="inlineStr">
        <is>
          <t>INK</t>
        </is>
      </c>
      <c r="G13" s="11" t="inlineStr">
        <is>
          <t>墨のにじみ</t>
        </is>
      </c>
      <c r="H13" s="13" t="inlineStr">
        <is>
          <t>体の輪郭から墨がにじみ、動いた跡が一枚の水墨画として残る楽器。止まると墨は乾き、両腕を広げれば墨が咲いて琴と太鼓が響く。</t>
        </is>
      </c>
      <c r="I13" s="13" t="inlineStr">
        <is>
          <t>Selfie Segmentation / Web Audio / カメラ(getUserMedia) / Canvas 2D</t>
        </is>
      </c>
      <c r="J13" s="11" t="inlineStr">
        <is>
          <t>sumi/index.html</t>
        </is>
      </c>
      <c r="K13" s="14" t="n">
        <v>949</v>
      </c>
      <c r="L13" s="15" t="n">
        <v>38.7</v>
      </c>
      <c r="M13" s="16" t="n">
        <v>46251</v>
      </c>
      <c r="N13" s="16" t="n">
        <v>46251</v>
      </c>
      <c r="O13" s="17" t="n">
        <v>1</v>
      </c>
      <c r="P13" s="18" t="inlineStr">
        <is>
          <t>https://apaapaapaapaapa2006-source.github.io/Oto/sumi/</t>
        </is>
      </c>
      <c r="Q13" s="18" t="inlineStr">
        <is>
          <t>https://github.com/apaapaapaapaapa2006-source/Oto/blob/claude/upload-project-github-w5g1fq/sumi/index.html</t>
        </is>
      </c>
    </row>
    <row r="14" ht="46" customHeight="1">
      <c r="A14" s="2" t="n">
        <v>13</v>
      </c>
      <c r="B14" s="3" t="inlineStr">
        <is>
          <t>💫</t>
        </is>
      </c>
      <c r="C14" s="2" t="inlineStr">
        <is>
          <t>CASCADE</t>
        </is>
      </c>
      <c r="D14" s="2" t="inlineStr">
        <is>
          <t>CASCADE ─ 傾ける星屑の滝</t>
        </is>
      </c>
      <c r="E14" s="19" t="inlineStr">
        <is>
          <t>ゲーム</t>
        </is>
      </c>
      <c r="F14" s="2" t="inlineStr">
        <is>
          <t>GAME</t>
        </is>
      </c>
      <c r="G14" s="2" t="inlineStr">
        <is>
          <t>傾きの重力</t>
        </is>
      </c>
      <c r="H14" s="5" t="inlineStr">
        <is>
          <t>体を傾けると重力ごと傾く物理ゲーム。降り注ぐ星屑を両腕で受け流し、光る共鳴環へ導いて音階を奏でる。</t>
        </is>
      </c>
      <c r="I14" s="5" t="inlineStr">
        <is>
          <t>MediaPipe Pose / Web Audio / カメラ(getUserMedia) / Canvas 2D</t>
        </is>
      </c>
      <c r="J14" s="2" t="inlineStr">
        <is>
          <t>cascade/index.html</t>
        </is>
      </c>
      <c r="K14" s="6" t="n">
        <v>1245</v>
      </c>
      <c r="L14" s="7" t="n">
        <v>51.5</v>
      </c>
      <c r="M14" s="8" t="n">
        <v>46251</v>
      </c>
      <c r="N14" s="8" t="n">
        <v>46251</v>
      </c>
      <c r="O14" s="9" t="n">
        <v>1</v>
      </c>
      <c r="P14" s="10" t="inlineStr">
        <is>
          <t>https://apaapaapaapaapa2006-source.github.io/Oto/cascade/</t>
        </is>
      </c>
      <c r="Q14" s="10" t="inlineStr">
        <is>
          <t>https://github.com/apaapaapaapaapa2006-source/Oto/blob/claude/upload-project-github-w5g1fq/cascade/index.html</t>
        </is>
      </c>
    </row>
    <row r="15" ht="46" customHeight="1">
      <c r="A15" s="11" t="n">
        <v>14</v>
      </c>
      <c r="B15" s="12" t="inlineStr">
        <is>
          <t>👄</t>
        </is>
      </c>
      <c r="C15" s="11" t="inlineStr">
        <is>
          <t>KOTODAMA</t>
        </is>
      </c>
      <c r="D15" s="11" t="inlineStr">
        <is>
          <t>KOTODAMA ─ 声なき歌</t>
        </is>
      </c>
      <c r="E15" s="4" t="inlineStr">
        <is>
          <t>楽器</t>
        </is>
      </c>
      <c r="F15" s="11" t="inlineStr">
        <is>
          <t>VOICELESS</t>
        </is>
      </c>
      <c r="G15" s="11" t="inlineStr">
        <is>
          <t>声なき歌</t>
        </is>
      </c>
      <c r="H15" s="13" t="inlineStr">
        <is>
          <t>声を出さず、口の形だけで歌う楽器。あ・い・う・え・お の唇がそのまま母音になり、顔の高さが音程、眉を上げると合唱が重なる。</t>
        </is>
      </c>
      <c r="I15" s="13" t="inlineStr">
        <is>
          <t>Face Landmarker / Web Audio / カメラ(getUserMedia) / Canvas 2D</t>
        </is>
      </c>
      <c r="J15" s="11" t="inlineStr">
        <is>
          <t>kotodama/index.html</t>
        </is>
      </c>
      <c r="K15" s="14" t="n">
        <v>1098</v>
      </c>
      <c r="L15" s="15" t="n">
        <v>45.5</v>
      </c>
      <c r="M15" s="16" t="n">
        <v>46252</v>
      </c>
      <c r="N15" s="16" t="n">
        <v>46252</v>
      </c>
      <c r="O15" s="17" t="n">
        <v>1</v>
      </c>
      <c r="P15" s="18" t="inlineStr">
        <is>
          <t>https://apaapaapaapaapa2006-source.github.io/Oto/kotodama/</t>
        </is>
      </c>
      <c r="Q15" s="18" t="inlineStr">
        <is>
          <t>https://github.com/apaapaapaapaapa2006-source/Oto/blob/claude/upload-project-github-w5g1fq/kotodama/index.html</t>
        </is>
      </c>
    </row>
    <row r="16" ht="46" customHeight="1">
      <c r="A16" s="2" t="n">
        <v>15</v>
      </c>
      <c r="B16" s="3" t="inlineStr">
        <is>
          <t>👹</t>
        </is>
      </c>
      <c r="C16" s="2" t="inlineStr">
        <is>
          <t>DARUMA</t>
        </is>
      </c>
      <c r="D16" s="2" t="inlineStr">
        <is>
          <t>DARUMA ─ だるまさんがころんだ</t>
        </is>
      </c>
      <c r="E16" s="19" t="inlineStr">
        <is>
          <t>ゲーム</t>
        </is>
      </c>
      <c r="F16" s="2" t="inlineStr">
        <is>
          <t>GAME</t>
        </is>
      </c>
      <c r="G16" s="2" t="inlineStr">
        <is>
          <t>静止と接近</t>
        </is>
      </c>
      <c r="H16" s="5" t="inlineStr">
        <is>
          <t>だるまさんがころんだ。鬼が唱える間にカメラへ歩いて近づき、振り向いた瞬間に完全静止する。少しでも動けば見つかる。</t>
        </is>
      </c>
      <c r="I16" s="5" t="inlineStr">
        <is>
          <t>MediaPipe Pose / Web Audio / カメラ(getUserMedia) / Canvas 2D</t>
        </is>
      </c>
      <c r="J16" s="2" t="inlineStr">
        <is>
          <t>daruma/index.html</t>
        </is>
      </c>
      <c r="K16" s="6" t="n">
        <v>1358</v>
      </c>
      <c r="L16" s="7" t="n">
        <v>57.8</v>
      </c>
      <c r="M16" s="8" t="n">
        <v>46253</v>
      </c>
      <c r="N16" s="8" t="n">
        <v>46253</v>
      </c>
      <c r="O16" s="9" t="n">
        <v>1</v>
      </c>
      <c r="P16" s="10" t="inlineStr">
        <is>
          <t>https://apaapaapaapaapa2006-source.github.io/Oto/daruma/</t>
        </is>
      </c>
      <c r="Q16" s="10" t="inlineStr">
        <is>
          <t>https://github.com/apaapaapaapaapa2006-source/Oto/blob/claude/upload-project-github-w5g1fq/daruma/index.html</t>
        </is>
      </c>
    </row>
    <row r="17" ht="46" customHeight="1">
      <c r="A17" s="11" t="n">
        <v>16</v>
      </c>
      <c r="B17" s="12" t="inlineStr">
        <is>
          <t>🎼</t>
        </is>
      </c>
      <c r="C17" s="11" t="inlineStr">
        <is>
          <t>ORGEL</t>
        </is>
      </c>
      <c r="D17" s="11" t="inlineStr">
        <is>
          <t>ORGEL ─ 光のオルゴール</t>
        </is>
      </c>
      <c r="E17" s="4" t="inlineStr">
        <is>
          <t>楽器</t>
        </is>
      </c>
      <c r="F17" s="11" t="inlineStr">
        <is>
          <t>LIGHT</t>
        </is>
      </c>
      <c r="G17" s="11" t="inlineStr">
        <is>
          <t>光のオルゴール</t>
        </is>
      </c>
      <c r="H17" s="13" t="inlineStr">
        <is>
          <t>カメラに見せた光がそのまま譜面に焼きつく光のオルゴール。走査線が通るたび音になり、色で音色が、影で消しゴムが決まる。</t>
        </is>
      </c>
      <c r="I17" s="13" t="inlineStr">
        <is>
          <t>Web Audio / カメラ(getUserMedia) / Canvas 2D</t>
        </is>
      </c>
      <c r="J17" s="11" t="inlineStr">
        <is>
          <t>orgel/index.html</t>
        </is>
      </c>
      <c r="K17" s="14" t="n">
        <v>1217</v>
      </c>
      <c r="L17" s="15" t="n">
        <v>48.2</v>
      </c>
      <c r="M17" s="16" t="n">
        <v>46254</v>
      </c>
      <c r="N17" s="16" t="n">
        <v>46254</v>
      </c>
      <c r="O17" s="17" t="n">
        <v>1</v>
      </c>
      <c r="P17" s="18" t="inlineStr">
        <is>
          <t>https://apaapaapaapaapa2006-source.github.io/Oto/orgel/</t>
        </is>
      </c>
      <c r="Q17" s="18" t="inlineStr">
        <is>
          <t>https://github.com/apaapaapaapaapa2006-source/Oto/blob/claude/upload-project-github-w5g1fq/orgel/index.html</t>
        </is>
      </c>
    </row>
    <row r="18" ht="46" customHeight="1">
      <c r="A18" s="2" t="n">
        <v>17</v>
      </c>
      <c r="B18" s="3" t="inlineStr">
        <is>
          <t>🕳</t>
        </is>
      </c>
      <c r="C18" s="2" t="inlineStr">
        <is>
          <t>KATA</t>
        </is>
      </c>
      <c r="D18" s="2" t="inlineStr">
        <is>
          <t>KATA ─ 光の型抜き</t>
        </is>
      </c>
      <c r="E18" s="19" t="inlineStr">
        <is>
          <t>ゲーム</t>
        </is>
      </c>
      <c r="F18" s="2" t="inlineStr">
        <is>
          <t>GAME</t>
        </is>
      </c>
      <c r="G18" s="2" t="inlineStr">
        <is>
          <t>光の型抜き</t>
        </is>
      </c>
      <c r="H18" s="5" t="inlineStr">
        <is>
          <t>人型の穴が空いた光の壁が正面から迫ってくる。届くまでに体の形を合わせて穴をくぐり抜けろ。はみ出した部分は赤く光る。</t>
        </is>
      </c>
      <c r="I18" s="5" t="inlineStr">
        <is>
          <t>MediaPipe Pose / Web Audio / カメラ(getUserMedia) / Canvas 2D</t>
        </is>
      </c>
      <c r="J18" s="2" t="inlineStr">
        <is>
          <t>kata/index.html</t>
        </is>
      </c>
      <c r="K18" s="6" t="n">
        <v>1351</v>
      </c>
      <c r="L18" s="7" t="n">
        <v>54.4</v>
      </c>
      <c r="M18" s="8" t="n">
        <v>46255</v>
      </c>
      <c r="N18" s="8" t="n">
        <v>46255</v>
      </c>
      <c r="O18" s="9" t="n">
        <v>1</v>
      </c>
      <c r="P18" s="10" t="inlineStr">
        <is>
          <t>https://apaapaapaapaapa2006-source.github.io/Oto/kata/</t>
        </is>
      </c>
      <c r="Q18" s="10" t="inlineStr">
        <is>
          <t>https://github.com/apaapaapaapaapa2006-source/Oto/blob/claude/upload-project-github-w5g1fq/kata/index.html</t>
        </is>
      </c>
    </row>
    <row r="19" ht="46" customHeight="1">
      <c r="A19" s="11" t="n">
        <v>18</v>
      </c>
      <c r="B19" s="12" t="inlineStr">
        <is>
          <t>🗻</t>
        </is>
      </c>
      <c r="C19" s="11" t="inlineStr">
        <is>
          <t>YAMABIKO</t>
        </is>
      </c>
      <c r="D19" s="11" t="inlineStr">
        <is>
          <t>YAMABIKO ─ 身体の輪唱</t>
        </is>
      </c>
      <c r="E19" s="4" t="inlineStr">
        <is>
          <t>楽器</t>
        </is>
      </c>
      <c r="F19" s="11" t="inlineStr">
        <is>
          <t>LOOP</t>
        </is>
      </c>
      <c r="G19" s="11" t="inlineStr">
        <is>
          <t>身体の輪唱</t>
        </is>
      </c>
      <c r="H19" s="13" t="inlineStr">
        <is>
          <t>手を振り下ろすと音が鳴り、5秒のループが一周するたび“さっきの自分”が影の分身になって同じ演奏を繰り返す。重ねるほど山彦のように高く澄んだ輪唱になる。</t>
        </is>
      </c>
      <c r="I19" s="13" t="inlineStr">
        <is>
          <t>MediaPipe Pose / Web Audio / カメラ(getUserMedia) / Canvas 2D</t>
        </is>
      </c>
      <c r="J19" s="11" t="inlineStr">
        <is>
          <t>yamabiko/index.html</t>
        </is>
      </c>
      <c r="K19" s="14" t="n">
        <v>1163</v>
      </c>
      <c r="L19" s="15" t="n">
        <v>46.4</v>
      </c>
      <c r="M19" s="16" t="n">
        <v>46256</v>
      </c>
      <c r="N19" s="16" t="n">
        <v>46256</v>
      </c>
      <c r="O19" s="17" t="n">
        <v>1</v>
      </c>
      <c r="P19" s="18" t="inlineStr">
        <is>
          <t>https://apaapaapaapaapa2006-source.github.io/Oto/yamabiko/</t>
        </is>
      </c>
      <c r="Q19" s="18" t="inlineStr">
        <is>
          <t>https://github.com/apaapaapaapaapa2006-source/Oto/blob/claude/upload-project-github-w5g1fq/yamabiko/index.html</t>
        </is>
      </c>
    </row>
    <row r="20" ht="46" customHeight="1">
      <c r="A20" s="2" t="n">
        <v>19</v>
      </c>
      <c r="B20" s="3" t="inlineStr">
        <is>
          <t>🎐</t>
        </is>
      </c>
      <c r="C20" s="2" t="inlineStr">
        <is>
          <t>FURIN</t>
        </is>
      </c>
      <c r="D20" s="2" t="inlineStr">
        <is>
          <t>FURIN ─ 風鈴と空気の楽器</t>
        </is>
      </c>
      <c r="E20" s="4" t="inlineStr">
        <is>
          <t>楽器</t>
        </is>
      </c>
      <c r="F20" s="2" t="inlineStr">
        <is>
          <t>WIND</t>
        </is>
      </c>
      <c r="G20" s="2" t="inlineStr">
        <is>
          <t>風鈴</t>
        </is>
      </c>
      <c r="H20" s="5" t="inlineStr">
        <is>
          <t>カメラの前で手をはらうと空気が流れ出す。風はすぐには止まらず、花びらを乗せて漂い、吊るされた風鈴を揺らして鳴らす。円を描けばつむじ風。</t>
        </is>
      </c>
      <c r="I20" s="5" t="inlineStr">
        <is>
          <t>Web Audio / カメラ(getUserMedia) / Canvas 2D</t>
        </is>
      </c>
      <c r="J20" s="2" t="inlineStr">
        <is>
          <t>furin/index.html</t>
        </is>
      </c>
      <c r="K20" s="6" t="n">
        <v>1249</v>
      </c>
      <c r="L20" s="7" t="n">
        <v>49.9</v>
      </c>
      <c r="M20" s="8" t="n">
        <v>46257</v>
      </c>
      <c r="N20" s="8" t="n">
        <v>46257</v>
      </c>
      <c r="O20" s="9" t="n">
        <v>1</v>
      </c>
      <c r="P20" s="10" t="inlineStr">
        <is>
          <t>https://apaapaapaapaapa2006-source.github.io/Oto/furin/</t>
        </is>
      </c>
      <c r="Q20" s="10" t="inlineStr">
        <is>
          <t>https://github.com/apaapaapaapaapa2006-source/Oto/blob/claude/upload-project-github-w5g1fq/furin/index.html</t>
        </is>
      </c>
    </row>
    <row r="21" ht="46" customHeight="1">
      <c r="A21" s="11" t="n">
        <v>20</v>
      </c>
      <c r="B21" s="12" t="inlineStr">
        <is>
          <t>🏮</t>
        </is>
      </c>
      <c r="C21" s="11" t="inlineStr">
        <is>
          <t>HOTARU</t>
        </is>
      </c>
      <c r="D21" s="11" t="inlineStr">
        <is>
          <t>HOTARU ─ 静けさで捕まえる蛍</t>
        </is>
      </c>
      <c r="E21" s="19" t="inlineStr">
        <is>
          <t>ゲーム</t>
        </is>
      </c>
      <c r="F21" s="11" t="inlineStr">
        <is>
          <t>GAME</t>
        </is>
      </c>
      <c r="G21" s="11" t="inlineStr">
        <is>
          <t>蛍狩り</t>
        </is>
      </c>
      <c r="H21" s="13" t="inlineStr">
        <is>
          <t>そっと手を開いて待つと蛍が寄ってきて、手のひらの脈動に同調して一緒に光りだす。光った瞬間に静かに手を閉じて捕まえる60秒の蛍狩り。慌てれば散る。</t>
        </is>
      </c>
      <c r="I21" s="13" t="inlineStr">
        <is>
          <t>MediaPipe Hands / Web Audio / カメラ(getUserMedia) / Canvas 2D</t>
        </is>
      </c>
      <c r="J21" s="11" t="inlineStr">
        <is>
          <t>hotaru/index.html</t>
        </is>
      </c>
      <c r="K21" s="14" t="n">
        <v>1374</v>
      </c>
      <c r="L21" s="15" t="n">
        <v>55.9</v>
      </c>
      <c r="M21" s="16" t="n">
        <v>46258</v>
      </c>
      <c r="N21" s="16" t="n">
        <v>46258</v>
      </c>
      <c r="O21" s="17" t="n">
        <v>2</v>
      </c>
      <c r="P21" s="18" t="inlineStr">
        <is>
          <t>https://apaapaapaapaapa2006-source.github.io/Oto/hotaru/</t>
        </is>
      </c>
      <c r="Q21" s="18" t="inlineStr">
        <is>
          <t>https://github.com/apaapaapaapaapa2006-source/Oto/blob/claude/upload-project-github-w5g1fq/hotaru/index.html</t>
        </is>
      </c>
    </row>
    <row r="22" ht="46" customHeight="1">
      <c r="A22" s="2" t="n">
        <v>21</v>
      </c>
      <c r="B22" s="3" t="inlineStr">
        <is>
          <t>🪞</t>
        </is>
      </c>
      <c r="C22" s="2" t="inlineStr">
        <is>
          <t>KAGAMI</t>
        </is>
      </c>
      <c r="D22" s="2" t="inlineStr">
        <is>
          <t>KAGAMI ─ 合わせ鏡の曼荼羅</t>
        </is>
      </c>
      <c r="E22" s="4" t="inlineStr">
        <is>
          <t>楽器</t>
        </is>
      </c>
      <c r="F22" s="2" t="inlineStr">
        <is>
          <t>SYMMETRY</t>
        </is>
      </c>
      <c r="G22" s="2" t="inlineStr">
        <is>
          <t>合わせ鏡</t>
        </is>
      </c>
      <c r="H22" s="5" t="inlineStr">
        <is>
          <t>左右の手を鏡写しに重ねる楽器。ズレていると像が水色と桃色に分離して和音が濁り、形が揃うほど曼荼羅が結晶して音が澄む。揃えたまま保つと開花して次の和音へ。同じ形では二度咲かない。</t>
        </is>
      </c>
      <c r="I22" s="5" t="inlineStr">
        <is>
          <t>MediaPipe Hands / Web Audio / カメラ(getUserMedia) / Canvas 2D</t>
        </is>
      </c>
      <c r="J22" s="2" t="inlineStr">
        <is>
          <t>kagami/index.html</t>
        </is>
      </c>
      <c r="K22" s="6" t="n">
        <v>1258</v>
      </c>
      <c r="L22" s="7" t="n">
        <v>49.4</v>
      </c>
      <c r="M22" s="8" t="n">
        <v>46259</v>
      </c>
      <c r="N22" s="8" t="n">
        <v>46259</v>
      </c>
      <c r="O22" s="9" t="n">
        <v>1</v>
      </c>
      <c r="P22" s="10" t="inlineStr">
        <is>
          <t>https://apaapaapaapaapa2006-source.github.io/Oto/kagami/</t>
        </is>
      </c>
      <c r="Q22" s="10" t="inlineStr">
        <is>
          <t>https://github.com/apaapaapaapaapa2006-source/Oto/blob/claude/upload-project-github-w5g1fq/kagami/index.html</t>
        </is>
      </c>
    </row>
  </sheetData>
  <autoFilter ref="A1:Q22"/>
  <hyperlinks>
    <hyperlink xmlns:r="http://schemas.openxmlformats.org/officeDocument/2006/relationships" ref="P2" r:id="rId1"/>
    <hyperlink xmlns:r="http://schemas.openxmlformats.org/officeDocument/2006/relationships" ref="Q2" r:id="rId2"/>
    <hyperlink xmlns:r="http://schemas.openxmlformats.org/officeDocument/2006/relationships" ref="P3" r:id="rId3"/>
    <hyperlink xmlns:r="http://schemas.openxmlformats.org/officeDocument/2006/relationships" ref="Q3" r:id="rId4"/>
    <hyperlink xmlns:r="http://schemas.openxmlformats.org/officeDocument/2006/relationships" ref="P4" r:id="rId5"/>
    <hyperlink xmlns:r="http://schemas.openxmlformats.org/officeDocument/2006/relationships" ref="Q4" r:id="rId6"/>
    <hyperlink xmlns:r="http://schemas.openxmlformats.org/officeDocument/2006/relationships" ref="P5" r:id="rId7"/>
    <hyperlink xmlns:r="http://schemas.openxmlformats.org/officeDocument/2006/relationships" ref="Q5" r:id="rId8"/>
    <hyperlink xmlns:r="http://schemas.openxmlformats.org/officeDocument/2006/relationships" ref="P6" r:id="rId9"/>
    <hyperlink xmlns:r="http://schemas.openxmlformats.org/officeDocument/2006/relationships" ref="Q6" r:id="rId10"/>
    <hyperlink xmlns:r="http://schemas.openxmlformats.org/officeDocument/2006/relationships" ref="P7" r:id="rId11"/>
    <hyperlink xmlns:r="http://schemas.openxmlformats.org/officeDocument/2006/relationships" ref="Q7" r:id="rId12"/>
    <hyperlink xmlns:r="http://schemas.openxmlformats.org/officeDocument/2006/relationships" ref="P8" r:id="rId13"/>
    <hyperlink xmlns:r="http://schemas.openxmlformats.org/officeDocument/2006/relationships" ref="Q8" r:id="rId14"/>
    <hyperlink xmlns:r="http://schemas.openxmlformats.org/officeDocument/2006/relationships" ref="P9" r:id="rId15"/>
    <hyperlink xmlns:r="http://schemas.openxmlformats.org/officeDocument/2006/relationships" ref="Q9" r:id="rId16"/>
    <hyperlink xmlns:r="http://schemas.openxmlformats.org/officeDocument/2006/relationships" ref="P10" r:id="rId17"/>
    <hyperlink xmlns:r="http://schemas.openxmlformats.org/officeDocument/2006/relationships" ref="Q10" r:id="rId18"/>
    <hyperlink xmlns:r="http://schemas.openxmlformats.org/officeDocument/2006/relationships" ref="P11" r:id="rId19"/>
    <hyperlink xmlns:r="http://schemas.openxmlformats.org/officeDocument/2006/relationships" ref="Q11" r:id="rId20"/>
    <hyperlink xmlns:r="http://schemas.openxmlformats.org/officeDocument/2006/relationships" ref="P12" r:id="rId21"/>
    <hyperlink xmlns:r="http://schemas.openxmlformats.org/officeDocument/2006/relationships" ref="Q12" r:id="rId22"/>
    <hyperlink xmlns:r="http://schemas.openxmlformats.org/officeDocument/2006/relationships" ref="P13" r:id="rId23"/>
    <hyperlink xmlns:r="http://schemas.openxmlformats.org/officeDocument/2006/relationships" ref="Q13" r:id="rId24"/>
    <hyperlink xmlns:r="http://schemas.openxmlformats.org/officeDocument/2006/relationships" ref="P14" r:id="rId25"/>
    <hyperlink xmlns:r="http://schemas.openxmlformats.org/officeDocument/2006/relationships" ref="Q14" r:id="rId26"/>
    <hyperlink xmlns:r="http://schemas.openxmlformats.org/officeDocument/2006/relationships" ref="P15" r:id="rId27"/>
    <hyperlink xmlns:r="http://schemas.openxmlformats.org/officeDocument/2006/relationships" ref="Q15" r:id="rId28"/>
    <hyperlink xmlns:r="http://schemas.openxmlformats.org/officeDocument/2006/relationships" ref="P16" r:id="rId29"/>
    <hyperlink xmlns:r="http://schemas.openxmlformats.org/officeDocument/2006/relationships" ref="Q16" r:id="rId30"/>
    <hyperlink xmlns:r="http://schemas.openxmlformats.org/officeDocument/2006/relationships" ref="P17" r:id="rId31"/>
    <hyperlink xmlns:r="http://schemas.openxmlformats.org/officeDocument/2006/relationships" ref="Q17" r:id="rId32"/>
    <hyperlink xmlns:r="http://schemas.openxmlformats.org/officeDocument/2006/relationships" ref="P18" r:id="rId33"/>
    <hyperlink xmlns:r="http://schemas.openxmlformats.org/officeDocument/2006/relationships" ref="Q18" r:id="rId34"/>
    <hyperlink xmlns:r="http://schemas.openxmlformats.org/officeDocument/2006/relationships" ref="P19" r:id="rId35"/>
    <hyperlink xmlns:r="http://schemas.openxmlformats.org/officeDocument/2006/relationships" ref="Q19" r:id="rId36"/>
    <hyperlink xmlns:r="http://schemas.openxmlformats.org/officeDocument/2006/relationships" ref="P20" r:id="rId37"/>
    <hyperlink xmlns:r="http://schemas.openxmlformats.org/officeDocument/2006/relationships" ref="Q20" r:id="rId38"/>
    <hyperlink xmlns:r="http://schemas.openxmlformats.org/officeDocument/2006/relationships" ref="P21" r:id="rId39"/>
    <hyperlink xmlns:r="http://schemas.openxmlformats.org/officeDocument/2006/relationships" ref="Q21" r:id="rId40"/>
    <hyperlink xmlns:r="http://schemas.openxmlformats.org/officeDocument/2006/relationships" ref="P22" r:id="rId41"/>
    <hyperlink xmlns:r="http://schemas.openxmlformats.org/officeDocument/2006/relationships" ref="Q22" r:id="rId4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</cols>
  <sheetData>
    <row r="1">
      <c r="A1" s="20" t="inlineStr">
        <is>
          <t>Oto — カメラとマイクで奏でる光と音の楽器コレクション</t>
        </is>
      </c>
    </row>
    <row r="3">
      <c r="A3" s="21" t="inlineStr">
        <is>
          <t>リポジトリ</t>
        </is>
      </c>
      <c r="B3" s="22" t="inlineStr">
        <is>
          <t>https://github.com/apaapaapaapaapa2006-source/Oto</t>
        </is>
      </c>
    </row>
    <row r="4">
      <c r="A4" s="21" t="inlineStr">
        <is>
          <t>ブランチ</t>
        </is>
      </c>
      <c r="B4" s="23" t="inlineStr">
        <is>
          <t>claude/upload-project-github-w5g1fq</t>
        </is>
      </c>
    </row>
    <row r="5">
      <c r="A5" s="21" t="inlineStr">
        <is>
          <t>公開サイト</t>
        </is>
      </c>
      <c r="B5" s="22" t="inlineStr">
        <is>
          <t>https://apaapaapaapaapa2006-source.github.io/Oto/</t>
        </is>
      </c>
    </row>
    <row r="6">
      <c r="A6" s="21" t="inlineStr">
        <is>
          <t>集計日</t>
        </is>
      </c>
      <c r="B6" s="23" t="inlineStr">
        <is>
          <t>2026-08-26</t>
        </is>
      </c>
    </row>
    <row r="8">
      <c r="A8" s="24" t="inlineStr">
        <is>
          <t>項目</t>
        </is>
      </c>
      <c r="B8" s="24" t="inlineStr">
        <is>
          <t>値</t>
        </is>
      </c>
    </row>
    <row r="9">
      <c r="A9" s="25" t="inlineStr">
        <is>
          <t>作品数</t>
        </is>
      </c>
      <c r="B9" s="26">
        <f>COUNTA(作品一覧!C2:C22)</f>
        <v/>
      </c>
    </row>
    <row r="10">
      <c r="A10" s="25" t="inlineStr">
        <is>
          <t>うち楽器</t>
        </is>
      </c>
      <c r="B10" s="26">
        <f>COUNTIF(作品一覧!E2:E22,"楽器")</f>
        <v/>
      </c>
    </row>
    <row r="11">
      <c r="A11" s="25" t="inlineStr">
        <is>
          <t>うちゲーム</t>
        </is>
      </c>
      <c r="B11" s="26">
        <f>COUNTIF(作品一覧!E2:E22,"ゲーム")</f>
        <v/>
      </c>
    </row>
    <row r="12">
      <c r="A12" s="25" t="inlineStr">
        <is>
          <t>総行数</t>
        </is>
      </c>
      <c r="B12" s="26">
        <f>SUM(作品一覧!K2:K22)</f>
        <v/>
      </c>
    </row>
    <row r="13">
      <c r="A13" s="25" t="inlineStr">
        <is>
          <t>合計サイズ(KB)</t>
        </is>
      </c>
      <c r="B13" s="26">
        <f>SUM(作品一覧!L2:L22)</f>
        <v/>
      </c>
    </row>
    <row r="14">
      <c r="A14" s="25" t="inlineStr">
        <is>
          <t>平均行数</t>
        </is>
      </c>
      <c r="B14" s="26">
        <f>ROUND(AVERAGE(作品一覧!K2:K22),0)</f>
        <v/>
      </c>
    </row>
    <row r="15">
      <c r="A15" s="25" t="inlineStr">
        <is>
          <t>最初の公開日</t>
        </is>
      </c>
      <c r="B15" s="27">
        <f>MIN(作品一覧!M2:M22)</f>
        <v/>
      </c>
    </row>
    <row r="16">
      <c r="A16" s="25" t="inlineStr">
        <is>
          <t>最新の公開日</t>
        </is>
      </c>
      <c r="B16" s="27">
        <f>MAX(作品一覧!M2:M22)</f>
        <v/>
      </c>
    </row>
    <row r="18">
      <c r="A18" s="28" t="inlineStr">
        <is>
          <t>タグ区分別 件数</t>
        </is>
      </c>
    </row>
    <row r="19">
      <c r="A19" s="24" t="inlineStr">
        <is>
          <t>タグ区分</t>
        </is>
      </c>
      <c r="B19" s="24" t="inlineStr">
        <is>
          <t>件数</t>
        </is>
      </c>
    </row>
    <row r="20">
      <c r="A20" s="25" t="inlineStr">
        <is>
          <t>BODY</t>
        </is>
      </c>
      <c r="B20" s="26">
        <f>COUNTIF(作品一覧!F2:F22,A20)</f>
        <v/>
      </c>
    </row>
    <row r="21">
      <c r="A21" s="25" t="inlineStr">
        <is>
          <t>FACE &amp; HANDS</t>
        </is>
      </c>
      <c r="B21" s="26">
        <f>COUNTIF(作品一覧!F2:F22,A21)</f>
        <v/>
      </c>
    </row>
    <row r="22">
      <c r="A22" s="25" t="inlineStr">
        <is>
          <t>GAME</t>
        </is>
      </c>
      <c r="B22" s="26">
        <f>COUNTIF(作品一覧!F2:F22,A22)</f>
        <v/>
      </c>
    </row>
    <row r="23">
      <c r="A23" s="25" t="inlineStr">
        <is>
          <t>GAZE</t>
        </is>
      </c>
      <c r="B23" s="26">
        <f>COUNTIF(作品一覧!F2:F22,A23)</f>
        <v/>
      </c>
    </row>
    <row r="24">
      <c r="A24" s="25" t="inlineStr">
        <is>
          <t>HANDS</t>
        </is>
      </c>
      <c r="B24" s="26">
        <f>COUNTIF(作品一覧!F2:F22,A24)</f>
        <v/>
      </c>
    </row>
    <row r="25">
      <c r="A25" s="25" t="inlineStr">
        <is>
          <t>INK</t>
        </is>
      </c>
      <c r="B25" s="26">
        <f>COUNTIF(作品一覧!F2:F22,A25)</f>
        <v/>
      </c>
    </row>
    <row r="26">
      <c r="A26" s="25" t="inlineStr">
        <is>
          <t>LIGHT</t>
        </is>
      </c>
      <c r="B26" s="26">
        <f>COUNTIF(作品一覧!F2:F22,A26)</f>
        <v/>
      </c>
    </row>
    <row r="27">
      <c r="A27" s="25" t="inlineStr">
        <is>
          <t>LOOP</t>
        </is>
      </c>
      <c r="B27" s="26">
        <f>COUNTIF(作品一覧!F2:F22,A27)</f>
        <v/>
      </c>
    </row>
    <row r="28">
      <c r="A28" s="25" t="inlineStr">
        <is>
          <t>MOTION</t>
        </is>
      </c>
      <c r="B28" s="26">
        <f>COUNTIF(作品一覧!F2:F22,A28)</f>
        <v/>
      </c>
    </row>
    <row r="29">
      <c r="A29" s="25" t="inlineStr">
        <is>
          <t>SILHOUETTE</t>
        </is>
      </c>
      <c r="B29" s="26">
        <f>COUNTIF(作品一覧!F2:F22,A29)</f>
        <v/>
      </c>
    </row>
    <row r="30">
      <c r="A30" s="25" t="inlineStr">
        <is>
          <t>SYMMETRY</t>
        </is>
      </c>
      <c r="B30" s="26">
        <f>COUNTIF(作品一覧!F2:F22,A30)</f>
        <v/>
      </c>
    </row>
    <row r="31">
      <c r="A31" s="25" t="inlineStr">
        <is>
          <t>VOICE &amp; HAND</t>
        </is>
      </c>
      <c r="B31" s="26">
        <f>COUNTIF(作品一覧!F2:F22,A31)</f>
        <v/>
      </c>
    </row>
    <row r="32">
      <c r="A32" s="25" t="inlineStr">
        <is>
          <t>VOICELESS</t>
        </is>
      </c>
      <c r="B32" s="26">
        <f>COUNTIF(作品一覧!F2:F22,A32)</f>
        <v/>
      </c>
    </row>
    <row r="33">
      <c r="A33" s="25" t="inlineStr">
        <is>
          <t>WIND</t>
        </is>
      </c>
      <c r="B33" s="26">
        <f>COUNTIF(作品一覧!F2:F22,A33)</f>
        <v/>
      </c>
    </row>
  </sheetData>
  <hyperlinks>
    <hyperlink xmlns:r="http://schemas.openxmlformats.org/officeDocument/2006/relationships" ref="B3" r:id="rId1"/>
    <hyperlink xmlns:r="http://schemas.openxmlformats.org/officeDocument/2006/relationships" ref="B5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2026-08-26T03:57:30Z</dcterms:created>
  <dcterms:modified xsi:type="dcterms:W3CDTF">2026-08-26T03:57:30Z</dcterms:modified>
</cp:coreProperties>
</file>